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B8EA4ECF-6228-450B-8338-5607B82F90BA}" xr6:coauthVersionLast="47" xr6:coauthVersionMax="47" xr10:uidLastSave="{00000000-0000-0000-0000-000000000000}"/>
  <bookViews>
    <workbookView xWindow="-108" yWindow="-108" windowWidth="23256" windowHeight="1257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35" i="20"/>
  <c r="C34" i="20"/>
  <c r="C33" i="20"/>
  <c r="C32" i="20"/>
  <c r="C31" i="20"/>
  <c r="C30" i="20"/>
  <c r="C29" i="20"/>
  <c r="C28" i="20"/>
  <c r="C27" i="20"/>
  <c r="C26" i="20"/>
  <c r="C25" i="20"/>
  <c r="C24" i="20"/>
  <c r="C22" i="19" a="1"/>
  <c r="C22" i="19" s="1"/>
  <c r="H42" i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B16" i="16" a="1"/>
  <c r="B16" i="16" s="1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6" i="18"/>
  <c r="D6" i="18"/>
  <c r="E6" i="18"/>
  <c r="F6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H43" i="1"/>
  <c r="B29" i="18" l="1"/>
  <c r="B28" i="18"/>
  <c r="D30" i="18"/>
  <c r="C30" i="18"/>
  <c r="D29" i="18"/>
  <c r="C29" i="18"/>
  <c r="D28" i="18"/>
  <c r="C28" i="18"/>
  <c r="E28" i="18"/>
  <c r="E29" i="18"/>
  <c r="B30" i="18"/>
  <c r="E30" i="18" l="1"/>
  <c r="F30" i="18" l="1"/>
  <c r="F28" i="18"/>
  <c r="F29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<sst xmlns="http://schemas.openxmlformats.org/spreadsheetml/2006/main" count="326" uniqueCount="181">
  <si>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</si>
  <si>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</si>
  <si>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</si>
  <si>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</si>
  <si>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</si>
  <si>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</si>
  <si>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</si>
  <si>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</si>
  <si>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</si>
  <si>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</si>
  <si>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</si>
  <si>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</si>
  <si>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</si>
  <si>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</si>
  <si>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</si>
  <si>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</si>
  <si>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</si>
  <si>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</si>
  <si>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</si>
  <si>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</si>
  <si>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</si>
  <si>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</si>
  <si>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</si>
  <si>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</si>
  <si>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</si>
  <si>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</si>
  <si>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</si>
  <si>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</si>
  <si>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</si>
  <si>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</si>
  <si>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</si>
  <si>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</si>
  <si>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</si>
  <si>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</si>
  <si>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</si>
  <si>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</si>
  <si>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</si>
  <si>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</si>
  <si>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</si>
  <si>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</si>
  <si>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</si>
  <si>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</si>
  <si>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</si>
  <si>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</si>
  <si>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</si>
  <si>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</si>
  <si>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</si>
  <si>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</si>
  <si>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</si>
  <si>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</si>
  <si>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</si>
  <si>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</si>
  <si>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</si>
  <si>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</si>
  <si>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</si>
  <si>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</si>
  <si>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</si>
  <si>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</si>
  <si>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</si>
  <si>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</si>
  <si>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</si>
  <si>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</si>
  <si>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</si>
  <si>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</si>
  <si>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</si>
  <si>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</si>
  <si>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</si>
  <si>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</si>
  <si>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</si>
  <si>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</si>
  <si>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</si>
  <si>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</si>
  <si>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</si>
  <si>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</si>
  <si>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</si>
  <si>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</si>
  <si>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</si>
  <si>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</si>
  <si>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</si>
  <si>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</si>
  <si>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</si>
  <si>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</si>
  <si>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</si>
  <si>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</si>
  <si>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</si>
  <si>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</si>
  <si>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</si>
  <si>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</si>
  <si>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</si>
  <si>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</si>
  <si>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</si>
  <si>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</si>
  <si>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</si>
  <si>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</si>
  <si>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</si>
  <si>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</si>
  <si>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</si>
  <si>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</si>
  <si>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</si>
  <si>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</si>
  <si>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</si>
  <si>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</si>
  <si>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</si>
  <si>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</si>
  <si>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</si>
  <si>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</si>
  <si>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</si>
  <si>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</si>
  <si>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</si>
  <si>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</si>
  <si>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</si>
  <si>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</si>
  <si>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</si>
  <si>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</si>
  <si>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</si>
  <si>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</si>
  <si>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</si>
  <si>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</si>
  <si>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</si>
  <si>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</si>
  <si>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</si>
  <si>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</si>
  <si>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</si>
  <si>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</si>
  <si>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</si>
  <si>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</si>
  <si>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</si>
  <si>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</si>
  <si>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</si>
  <si>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</si>
  <si>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</si>
  <si>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</si>
  <si>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</si>
  <si>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</si>
  <si>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</si>
  <si>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</si>
  <si>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</si>
  <si>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</si>
  <si>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</si>
  <si>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</si>
  <si>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</si>
  <si>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</si>
  <si>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</si>
  <si>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</si>
  <si>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</si>
  <si>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</si>
  <si>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</si>
  <si>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</si>
  <si>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</si>
  <si>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</si>
  <si>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</si>
  <si>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</si>
  <si>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</si>
  <si>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</si>
  <si>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</si>
  <si>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</si>
  <si>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</si>
  <si>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</si>
  <si>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</si>
  <si>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</si>
  <si>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</si>
  <si>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</si>
  <si>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</si>
  <si>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</si>
  <si>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</si>
  <si>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</si>
  <si>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</si>
  <si>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</si>
  <si>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</si>
  <si>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</si>
  <si>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</si>
  <si>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</si>
  <si>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</si>
  <si>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</si>
  <si>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</si>
  <si>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</si>
  <si>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</si>
  <si>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SUMIFS(H2:H40, H2:H40, "&gt;20")</t>
  </si>
  <si>
    <t>I have used the formula Textsplit: Textsplit is used to split a text in a cell into multiple cells based on a delimiter, here I have - as a delimiter which resulted in the desired outcome</t>
  </si>
  <si>
    <t>I have used three keywords to perform above mentioned operation 
1. ISNA: Which checks if the value in the range is N/A
2. IF(ISNA(range), 20, range : This replaces N/A values with 20, while keeping other values unchanged.
3. Sum() : Which sums all values including substituted values</t>
  </si>
  <si>
    <t xml:space="preserve">I tried used 2 Formulas in 
1. vlookup: which looksup name_1 in table B
2. match: finds the column in table A where the corresponding value for name_1 is located.
Unfortunately the formula which I am trying to use is not working. I have applied my knowledge to the fullest. Need to understand it fully.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</si>
</sst>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5" fontId="3" fillId="0" borderId="0" xfId="0" applyNumberFormat="1" applyFont="1"/>
    <xf numFmtId="0" fontId="3" fillId="0" borderId="0" xfId="0" applyFont="1" applyAlignment="1">
      <alignment wrapText="1"/>
    </xf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zoomScaleNormal="100" workbookViewId="0">
      <pane ySplit="1" topLeftCell="A2" activePane="bottomLeft" state="frozen"/>
      <selection pane="bottomLeft" activeCell="G13" sqref="G1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2" spans="1:24" x14ac:dyDescent="0.3">
      <c r="H42" s="1">
        <f>SUMIFS(H2:H40, H2:H40, "&gt;20")</f>
        <v>1473.0000000000002</v>
      </c>
    </row>
    <row r="43" spans="1:24" x14ac:dyDescent="0.3">
      <c r="H43" s="1">
        <f>SUMIF(H2:H40, "&gt;20",H2:H40)</f>
        <v>1473.0000000000002</v>
      </c>
    </row>
  </sheetData>
  <conditionalFormatting sqref="G1:W1048576">
    <cfRule type="containsText" dxfId="3" priority="1" operator="containsText" text="0">
      <formula>NOT(ISERROR(SEARCH("0",G1)))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2A922FCB-608E-4AF3-86D7-5823AC021A7F}">
            <xm:f>NOT(ISERROR(SEARCH(-1,G1)))</xm:f>
            <xm:f>-1</xm:f>
            <x14:dxf>
              <fill>
                <patternFill>
                  <bgColor rgb="FFFF0000"/>
                </patternFill>
              </fill>
            </x14:dxf>
          </x14:cfRule>
          <xm:sqref>G1:W1048576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1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" zoomScaleNormal="100" workbookViewId="0">
      <selection activeCell="C21" sqref="C2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_xlfn.XLOOKUP(A6,Dataset!A:A,Dataset!G:G)</f>
        <v>2.7</v>
      </c>
      <c r="C6" s="12">
        <f>_xlfn.XLOOKUP(A6,Dataset!A:A,Dataset!N:N)</f>
        <v>7.6</v>
      </c>
      <c r="D6" s="12">
        <f>_xlfn.XLOOKUP(A6,Dataset!A:A,Dataset!R:R)</f>
        <v>4.2</v>
      </c>
      <c r="E6" s="12">
        <f>_xlfn.XLOOKUP(A6,Dataset!A:A,Dataset!S:S)</f>
        <v>7.6</v>
      </c>
      <c r="F6" s="8">
        <f>_xlfn.XLOOKUP(A6,Dataset!A:A,Dataset!V:V)</f>
        <v>4.2</v>
      </c>
    </row>
    <row r="7" spans="1:7" ht="14.4" x14ac:dyDescent="0.3">
      <c r="A7" s="7" t="s">
        <v>4</v>
      </c>
      <c r="B7" s="12">
        <f>_xlfn.XLOOKUP(A7,Dataset!A:A,Dataset!G:G)</f>
        <v>2.7</v>
      </c>
      <c r="C7" s="12">
        <f>_xlfn.XLOOKUP(A7,Dataset!A:A,Dataset!N:N)</f>
        <v>7.6</v>
      </c>
      <c r="D7" s="12">
        <f>_xlfn.XLOOKUP(A7,Dataset!A:A,Dataset!R:R)</f>
        <v>4.2</v>
      </c>
      <c r="E7" s="12">
        <f>_xlfn.XLOOKUP(A7,Dataset!A:A,Dataset!S:S)</f>
        <v>7.6</v>
      </c>
      <c r="F7" s="8">
        <f>_xlfn.XLOOKUP(A7,Dataset!A:A,Dataset!V:V)</f>
        <v>4.2</v>
      </c>
    </row>
    <row r="8" spans="1:7" ht="14.4" x14ac:dyDescent="0.3">
      <c r="A8" s="7" t="s">
        <v>7</v>
      </c>
      <c r="B8" s="12">
        <f>_xlfn.XLOOKUP(A8,Dataset!A:A,Dataset!G:G)</f>
        <v>3.6</v>
      </c>
      <c r="C8" s="12">
        <f>_xlfn.XLOOKUP(A8,Dataset!A:A,Dataset!N:N)</f>
        <v>11.1</v>
      </c>
      <c r="D8" s="12">
        <f>_xlfn.XLOOKUP(A8,Dataset!A:A,Dataset!R:R)</f>
        <v>5.8</v>
      </c>
      <c r="E8" s="12">
        <f>_xlfn.XLOOKUP(A8,Dataset!A:A,Dataset!S:S)</f>
        <v>11.1</v>
      </c>
      <c r="F8" s="8">
        <f>_xlfn.XLOOKUP(A8,Dataset!A:A,Dataset!V:V)</f>
        <v>5.8</v>
      </c>
    </row>
    <row r="9" spans="1:7" ht="14.4" x14ac:dyDescent="0.3">
      <c r="A9" s="7" t="s">
        <v>8</v>
      </c>
      <c r="B9" s="12">
        <f>_xlfn.XLOOKUP(A9,Dataset!A:A,Dataset!G:G)</f>
        <v>4.9000000000000004</v>
      </c>
      <c r="C9" s="12">
        <f>_xlfn.XLOOKUP(A9,Dataset!A:A,Dataset!N:N)</f>
        <v>13.3</v>
      </c>
      <c r="D9" s="12">
        <f>_xlfn.XLOOKUP(A9,Dataset!A:A,Dataset!R:R)</f>
        <v>8.1</v>
      </c>
      <c r="E9" s="12">
        <f>_xlfn.XLOOKUP(A9,Dataset!A:A,Dataset!S:S)</f>
        <v>13.3</v>
      </c>
      <c r="F9" s="8">
        <f>_xlfn.XLOOKUP(A9,Dataset!A:A,Dataset!V:V)</f>
        <v>8.1</v>
      </c>
    </row>
    <row r="10" spans="1:7" ht="14.4" x14ac:dyDescent="0.3">
      <c r="A10" s="7" t="s">
        <v>11</v>
      </c>
      <c r="B10" s="12">
        <f>_xlfn.XLOOKUP(A10,Dataset!A:A,Dataset!G:G)</f>
        <v>9.4</v>
      </c>
      <c r="C10" s="12">
        <f>_xlfn.XLOOKUP(A10,Dataset!A:A,Dataset!N:N)</f>
        <v>28.3</v>
      </c>
      <c r="D10" s="12">
        <f>_xlfn.XLOOKUP(A10,Dataset!A:A,Dataset!R:R)</f>
        <v>16.100000000000001</v>
      </c>
      <c r="E10" s="12">
        <f>_xlfn.XLOOKUP(A10,Dataset!A:A,Dataset!S:S)</f>
        <v>28.3</v>
      </c>
      <c r="F10" s="8">
        <f>_xlfn.XLOOKUP(A10,Dataset!A:A,Dataset!V:V)</f>
        <v>16.100000000000001</v>
      </c>
    </row>
    <row r="11" spans="1:7" ht="14.4" x14ac:dyDescent="0.3">
      <c r="A11" s="7" t="s">
        <v>12</v>
      </c>
      <c r="B11" s="12">
        <f>_xlfn.XLOOKUP(A11,Dataset!A:A,Dataset!G:G)</f>
        <v>11.6</v>
      </c>
      <c r="C11" s="12">
        <f>_xlfn.XLOOKUP(A11,Dataset!A:A,Dataset!N:N)</f>
        <v>35.200000000000003</v>
      </c>
      <c r="D11" s="12">
        <f>_xlfn.XLOOKUP(A11,Dataset!A:A,Dataset!R:R)</f>
        <v>21.3</v>
      </c>
      <c r="E11" s="12">
        <f>_xlfn.XLOOKUP(A11,Dataset!A:A,Dataset!S:S)</f>
        <v>35.200000000000003</v>
      </c>
      <c r="F11" s="8">
        <f>_xlfn.XLOOKUP(A11,Dataset!A:A,Dataset!V:V)</f>
        <v>21.3</v>
      </c>
    </row>
    <row r="12" spans="1:7" ht="14.4" x14ac:dyDescent="0.3">
      <c r="A12" s="7" t="s">
        <v>14</v>
      </c>
      <c r="B12" s="12">
        <f>_xlfn.XLOOKUP(A12,Dataset!A:A,Dataset!G:G)</f>
        <v>18.399999999999999</v>
      </c>
      <c r="C12" s="12">
        <f>_xlfn.XLOOKUP(A12,Dataset!A:A,Dataset!N:N)</f>
        <v>55.6</v>
      </c>
      <c r="D12" s="12">
        <f>_xlfn.XLOOKUP(A12,Dataset!A:A,Dataset!R:R)</f>
        <v>33.799999999999997</v>
      </c>
      <c r="E12" s="12">
        <f>_xlfn.XLOOKUP(A12,Dataset!A:A,Dataset!S:S)</f>
        <v>55.6</v>
      </c>
      <c r="F12" s="8">
        <f>_xlfn.XLOOKUP(A12,Dataset!A:A,Dataset!V:V)</f>
        <v>33.799999999999997</v>
      </c>
    </row>
    <row r="13" spans="1:7" ht="14.4" x14ac:dyDescent="0.3">
      <c r="A13" s="7" t="s">
        <v>15</v>
      </c>
      <c r="B13" s="12">
        <f>_xlfn.XLOOKUP(A13,Dataset!A:A,Dataset!G:G)</f>
        <v>0</v>
      </c>
      <c r="C13" s="12">
        <f>_xlfn.XLOOKUP(A13,Dataset!A:A,Dataset!N:N)</f>
        <v>0</v>
      </c>
      <c r="D13" s="12">
        <f>_xlfn.XLOOKUP(A13,Dataset!A:A,Dataset!R:R)</f>
        <v>0</v>
      </c>
      <c r="E13" s="12">
        <f>_xlfn.XLOOKUP(A13,Dataset!A:A,Dataset!S:S)</f>
        <v>0</v>
      </c>
      <c r="F13" s="8">
        <f>_xlfn.XLOOKUP(A13,Dataset!A:A,Dataset!V:V)</f>
        <v>0</v>
      </c>
    </row>
    <row r="14" spans="1:7" ht="14.4" x14ac:dyDescent="0.3">
      <c r="A14" s="7" t="s">
        <v>16</v>
      </c>
      <c r="B14" s="12">
        <f>_xlfn.XLOOKUP(A14,Dataset!A:A,Dataset!G:G)</f>
        <v>21.9</v>
      </c>
      <c r="C14" s="12">
        <f>_xlfn.XLOOKUP(A14,Dataset!A:A,Dataset!N:N)</f>
        <v>61.5</v>
      </c>
      <c r="D14" s="12">
        <f>_xlfn.XLOOKUP(A14,Dataset!A:A,Dataset!R:R)</f>
        <v>40.1</v>
      </c>
      <c r="E14" s="12">
        <f>_xlfn.XLOOKUP(A14,Dataset!A:A,Dataset!S:S)</f>
        <v>61.5</v>
      </c>
      <c r="F14" s="8">
        <f>_xlfn.XLOOKUP(A14,Dataset!A:A,Dataset!V:V)</f>
        <v>40.1</v>
      </c>
    </row>
    <row r="15" spans="1:7" ht="14.4" x14ac:dyDescent="0.3">
      <c r="A15" s="7" t="s">
        <v>18</v>
      </c>
      <c r="B15" s="12">
        <f>_xlfn.XLOOKUP(A15,Dataset!A:A,Dataset!G:G)</f>
        <v>26.8</v>
      </c>
      <c r="C15" s="12">
        <f>_xlfn.XLOOKUP(A15,Dataset!A:A,Dataset!N:N)</f>
        <v>79.599999999999994</v>
      </c>
      <c r="D15" s="12">
        <f>_xlfn.XLOOKUP(A15,Dataset!A:A,Dataset!R:R)</f>
        <v>47.9</v>
      </c>
      <c r="E15" s="12">
        <f>_xlfn.XLOOKUP(A15,Dataset!A:A,Dataset!S:S)</f>
        <v>79.599999999999994</v>
      </c>
      <c r="F15" s="8">
        <f>_xlfn.XLOOKUP(A15,Dataset!A:A,Dataset!V:V)</f>
        <v>47.9</v>
      </c>
    </row>
    <row r="16" spans="1:7" ht="14.4" x14ac:dyDescent="0.3">
      <c r="A16" s="7" t="s">
        <v>20</v>
      </c>
      <c r="B16" s="12">
        <f>_xlfn.XLOOKUP(A16,Dataset!A:A,Dataset!G:G)</f>
        <v>28.5</v>
      </c>
      <c r="C16" s="12">
        <f>_xlfn.XLOOKUP(A16,Dataset!A:A,Dataset!N:N)</f>
        <v>85.4</v>
      </c>
      <c r="D16" s="12">
        <f>_xlfn.XLOOKUP(A16,Dataset!A:A,Dataset!R:R)</f>
        <v>52.3</v>
      </c>
      <c r="E16" s="12">
        <f>_xlfn.XLOOKUP(A16,Dataset!A:A,Dataset!S:S)</f>
        <v>85.4</v>
      </c>
      <c r="F16" s="8">
        <f>_xlfn.XLOOKUP(A16,Dataset!A:A,Dataset!V:V)</f>
        <v>52.3</v>
      </c>
    </row>
    <row r="17" spans="1:6" ht="14.4" x14ac:dyDescent="0.3">
      <c r="A17" s="7" t="s">
        <v>22</v>
      </c>
      <c r="B17" s="12">
        <f>_xlfn.XLOOKUP(A17,Dataset!A:A,Dataset!G:G)</f>
        <v>30.7</v>
      </c>
      <c r="C17" s="12">
        <f>_xlfn.XLOOKUP(A17,Dataset!A:A,Dataset!N:N)</f>
        <v>92.1</v>
      </c>
      <c r="D17" s="12">
        <f>_xlfn.XLOOKUP(A17,Dataset!A:A,Dataset!R:R)</f>
        <v>57</v>
      </c>
      <c r="E17" s="12">
        <f>_xlfn.XLOOKUP(A17,Dataset!A:A,Dataset!S:S)</f>
        <v>92.1</v>
      </c>
      <c r="F17" s="8">
        <f>_xlfn.XLOOKUP(A17,Dataset!A:A,Dataset!V:V)</f>
        <v>57</v>
      </c>
    </row>
    <row r="18" spans="1:6" ht="14.4" x14ac:dyDescent="0.3">
      <c r="A18" s="7" t="s">
        <v>23</v>
      </c>
      <c r="B18" s="12">
        <f>_xlfn.XLOOKUP(A18,Dataset!A:A,Dataset!G:G)</f>
        <v>33.799999999999997</v>
      </c>
      <c r="C18" s="12">
        <f>_xlfn.XLOOKUP(A18,Dataset!A:A,Dataset!N:N)</f>
        <v>101.3</v>
      </c>
      <c r="D18" s="12">
        <f>_xlfn.XLOOKUP(A18,Dataset!A:A,Dataset!R:R)</f>
        <v>61.4</v>
      </c>
      <c r="E18" s="12">
        <f>_xlfn.XLOOKUP(A18,Dataset!A:A,Dataset!S:S)</f>
        <v>101.3</v>
      </c>
      <c r="F18" s="8">
        <f>_xlfn.XLOOKUP(A18,Dataset!A:A,Dataset!V:V)</f>
        <v>61.4</v>
      </c>
    </row>
    <row r="19" spans="1:6" ht="14.4" x14ac:dyDescent="0.3">
      <c r="A19" s="7" t="s">
        <v>24</v>
      </c>
      <c r="B19" s="12">
        <f>_xlfn.XLOOKUP(A19,Dataset!A:A,Dataset!G:G)</f>
        <v>34.700000000000003</v>
      </c>
      <c r="C19" s="12">
        <f>_xlfn.XLOOKUP(A19,Dataset!A:A,Dataset!N:N)</f>
        <v>106.1</v>
      </c>
      <c r="D19" s="12">
        <f>_xlfn.XLOOKUP(A19,Dataset!A:A,Dataset!R:R)</f>
        <v>63.6</v>
      </c>
      <c r="E19" s="12">
        <f>_xlfn.XLOOKUP(A19,Dataset!A:A,Dataset!S:S)</f>
        <v>106.1</v>
      </c>
      <c r="F19" s="8">
        <f>_xlfn.XLOOKUP(A19,Dataset!A:A,Dataset!V:V)</f>
        <v>63.6</v>
      </c>
    </row>
    <row r="20" spans="1:6" ht="14.4" x14ac:dyDescent="0.3">
      <c r="A20" s="7" t="s">
        <v>28</v>
      </c>
      <c r="B20" s="12">
        <f>_xlfn.XLOOKUP(A20,Dataset!A:A,Dataset!G:G)</f>
        <v>0</v>
      </c>
      <c r="C20" s="12">
        <f>_xlfn.XLOOKUP(A20,Dataset!A:A,Dataset!N:N)</f>
        <v>0</v>
      </c>
      <c r="D20" s="12">
        <f>_xlfn.XLOOKUP(A20,Dataset!A:A,Dataset!R:R)</f>
        <v>0</v>
      </c>
      <c r="E20" s="12">
        <f>_xlfn.XLOOKUP(A20,Dataset!A:A,Dataset!S:S)</f>
        <v>0</v>
      </c>
      <c r="F20" s="8">
        <f>_xlfn.XLOOKUP(A20,Dataset!A:A,Dataset!V:V)</f>
        <v>0</v>
      </c>
    </row>
    <row r="21" spans="1:6" ht="14.4" x14ac:dyDescent="0.3">
      <c r="A21" s="7" t="s">
        <v>57</v>
      </c>
      <c r="B21" s="12">
        <f>_xlfn.XLOOKUP(A21,Dataset!A:A,Dataset!G:G)</f>
        <v>41.3</v>
      </c>
      <c r="C21" s="12">
        <f>_xlfn.XLOOKUP(A21,Dataset!A:A,Dataset!N:N)</f>
        <v>124.4</v>
      </c>
      <c r="D21" s="12">
        <f>_xlfn.XLOOKUP(A21,Dataset!A:A,Dataset!R:R)</f>
        <v>75</v>
      </c>
      <c r="E21" s="12">
        <f>_xlfn.XLOOKUP(A21,Dataset!A:A,Dataset!S:S)</f>
        <v>124.4</v>
      </c>
      <c r="F21" s="8">
        <f>_xlfn.XLOOKUP(A21,Dataset!A:A,Dataset!V:V)</f>
        <v>75</v>
      </c>
    </row>
    <row r="22" spans="1:6" ht="14.4" x14ac:dyDescent="0.3">
      <c r="A22" s="7" t="s">
        <v>58</v>
      </c>
      <c r="B22" s="12">
        <f>_xlfn.XLOOKUP(A22,Dataset!A:A,Dataset!G:G)</f>
        <v>-1</v>
      </c>
      <c r="C22" s="12">
        <f>_xlfn.XLOOKUP(A22,Dataset!A:A,Dataset!N:N)</f>
        <v>-1</v>
      </c>
      <c r="D22" s="12">
        <f>_xlfn.XLOOKUP(A22,Dataset!A:A,Dataset!R:R)</f>
        <v>-1</v>
      </c>
      <c r="E22" s="12">
        <f>_xlfn.XLOOKUP(A22,Dataset!A:A,Dataset!S:S)</f>
        <v>-1</v>
      </c>
      <c r="F22" s="8">
        <f>_xlfn.XLOOKUP(A22,Dataset!A:A,Dataset!V:V)</f>
        <v>-1</v>
      </c>
    </row>
    <row r="23" spans="1:6" ht="14.4" x14ac:dyDescent="0.3">
      <c r="A23" s="7" t="s">
        <v>31</v>
      </c>
      <c r="B23" s="12">
        <f>_xlfn.XLOOKUP(A23,Dataset!A:A,Dataset!G:G)</f>
        <v>45</v>
      </c>
      <c r="C23" s="12">
        <f>_xlfn.XLOOKUP(A23,Dataset!A:A,Dataset!N:N)</f>
        <v>133.4</v>
      </c>
      <c r="D23" s="12">
        <f>_xlfn.XLOOKUP(A23,Dataset!A:A,Dataset!R:R)</f>
        <v>79.400000000000006</v>
      </c>
      <c r="E23" s="12">
        <f>_xlfn.XLOOKUP(A23,Dataset!A:A,Dataset!S:S)</f>
        <v>133.4</v>
      </c>
      <c r="F23" s="8">
        <f>_xlfn.XLOOKUP(A23,Dataset!A:A,Dataset!V:V)</f>
        <v>79.400000000000006</v>
      </c>
    </row>
    <row r="24" spans="1:6" ht="14.4" x14ac:dyDescent="0.3">
      <c r="A24" s="7" t="s">
        <v>32</v>
      </c>
      <c r="B24" s="12">
        <f>_xlfn.XLOOKUP(A24,Dataset!A:A,Dataset!G:G)</f>
        <v>-1</v>
      </c>
      <c r="C24" s="12">
        <f>_xlfn.XLOOKUP(A24,Dataset!A:A,Dataset!N:N)</f>
        <v>-1</v>
      </c>
      <c r="D24" s="12">
        <f>_xlfn.XLOOKUP(A24,Dataset!A:A,Dataset!R:R)</f>
        <v>-1</v>
      </c>
      <c r="E24" s="12">
        <f>_xlfn.XLOOKUP(A24,Dataset!A:A,Dataset!S:S)</f>
        <v>-1</v>
      </c>
      <c r="F24" s="8">
        <f>_xlfn.XLOOKUP(A24,Dataset!A:A,Dataset!V:V)</f>
        <v>-1</v>
      </c>
    </row>
    <row r="25" spans="1:6" ht="14.4" x14ac:dyDescent="0.3">
      <c r="A25" s="7" t="s">
        <v>34</v>
      </c>
      <c r="B25" s="12">
        <f>_xlfn.XLOOKUP(A25,Dataset!A:A,Dataset!G:G)</f>
        <v>43.3</v>
      </c>
      <c r="C25" s="12">
        <f>_xlfn.XLOOKUP(A25,Dataset!A:A,Dataset!N:N)</f>
        <v>128.6</v>
      </c>
      <c r="D25" s="12">
        <f>_xlfn.XLOOKUP(A25,Dataset!A:A,Dataset!R:R)</f>
        <v>79.400000000000006</v>
      </c>
      <c r="E25" s="12">
        <f>_xlfn.XLOOKUP(A25,Dataset!A:A,Dataset!S:S)</f>
        <v>128.6</v>
      </c>
      <c r="F25" s="8">
        <f>_xlfn.XLOOKUP(A25,Dataset!A:A,Dataset!V:V)</f>
        <v>79.400000000000006</v>
      </c>
    </row>
    <row r="26" spans="1:6" ht="14.4" x14ac:dyDescent="0.3">
      <c r="A26" s="7" t="s">
        <v>37</v>
      </c>
      <c r="B26" s="12">
        <f>_xlfn.XLOOKUP(A26,Dataset!A:A,Dataset!G:G)</f>
        <v>49.1</v>
      </c>
      <c r="C26" s="12">
        <f>_xlfn.XLOOKUP(A26,Dataset!A:A,Dataset!N:N)</f>
        <v>146.80000000000001</v>
      </c>
      <c r="D26" s="12">
        <f>_xlfn.XLOOKUP(A26,Dataset!A:A,Dataset!R:R)</f>
        <v>90.9</v>
      </c>
      <c r="E26" s="12">
        <f>_xlfn.XLOOKUP(A26,Dataset!A:A,Dataset!S:S)</f>
        <v>146.80000000000001</v>
      </c>
      <c r="F26" s="8">
        <f>_xlfn.XLOOKUP(A26,Dataset!A:A,Dataset!V:V)</f>
        <v>90.9</v>
      </c>
    </row>
    <row r="27" spans="1:6" ht="14.4" x14ac:dyDescent="0.3">
      <c r="A27" s="7" t="s">
        <v>39</v>
      </c>
      <c r="B27" s="12">
        <f>_xlfn.XLOOKUP(A27,Dataset!A:A,Dataset!G:G)</f>
        <v>51.8</v>
      </c>
      <c r="C27" s="12">
        <f>_xlfn.XLOOKUP(A27,Dataset!A:A,Dataset!N:N)</f>
        <v>156.4</v>
      </c>
      <c r="D27" s="12">
        <f>_xlfn.XLOOKUP(A27,Dataset!A:A,Dataset!R:R)</f>
        <v>93.1</v>
      </c>
      <c r="E27" s="12">
        <f>_xlfn.XLOOKUP(A27,Dataset!A:A,Dataset!S:S)</f>
        <v>156.4</v>
      </c>
      <c r="F27" s="8">
        <f>_xlfn.XLOOKUP(A27,Dataset!A:A,Dataset!V:V)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156.4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62.377272727272725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D21" sqref="D2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" t="s">
        <v>178</v>
      </c>
    </row>
    <row r="6" spans="1:10" ht="18" x14ac:dyDescent="0.35">
      <c r="A6" s="42" t="s">
        <v>152</v>
      </c>
      <c r="B6" s="39"/>
    </row>
    <row r="7" spans="1:10" ht="18" x14ac:dyDescent="0.35">
      <c r="A7" s="42"/>
      <c r="B7" s="39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 t="str" cm="1">
        <f t="array" ref="B16:F16">_xlfn.TEXTSPLIT(A16, 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 x14ac:dyDescent="0.3">
      <c r="A17" s="7" t="s">
        <v>121</v>
      </c>
      <c r="B17" s="12" t="str" cm="1">
        <f t="array" ref="B17:F17">_xlfn.TEXTSPLIT(A17, 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3">
      <c r="A18" s="7" t="s">
        <v>122</v>
      </c>
      <c r="B18" s="12" t="str" cm="1">
        <f t="array" ref="B18:F18">_xlfn.TEXTSPLIT(A18, 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3">
      <c r="A19" s="7" t="s">
        <v>123</v>
      </c>
      <c r="B19" s="12" t="str" cm="1">
        <f t="array" ref="B19:F19">_xlfn.TEXTSPLIT(A19, 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3">
      <c r="A20" s="7" t="s">
        <v>124</v>
      </c>
      <c r="B20" s="12" t="str" cm="1">
        <f t="array" ref="B20:F20">_xlfn.TEXTSPLIT(A20, 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3">
      <c r="A21" s="7" t="s">
        <v>125</v>
      </c>
      <c r="B21" s="12" t="str" cm="1">
        <f t="array" ref="B21:F21">_xlfn.TEXTSPLIT(A21, 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3">
      <c r="A22" s="7" t="s">
        <v>126</v>
      </c>
      <c r="B22" s="12" t="str" cm="1">
        <f t="array" ref="B22:F22">_xlfn.TEXTSPLIT(A22, 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3">
      <c r="A23" s="7" t="s">
        <v>127</v>
      </c>
      <c r="B23" s="12" t="str" cm="1">
        <f t="array" ref="B23:F23">_xlfn.TEXTSPLIT(A23, 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3">
      <c r="A24" s="7" t="s">
        <v>128</v>
      </c>
      <c r="B24" s="12" t="str" cm="1">
        <f t="array" ref="B24:F24">_xlfn.TEXTSPLIT(A24, 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3">
      <c r="A25" s="7" t="s">
        <v>129</v>
      </c>
      <c r="B25" s="12" t="str" cm="1">
        <f t="array" ref="B25:F25">_xlfn.TEXTSPLIT(A25, 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3">
      <c r="A26" s="7" t="s">
        <v>130</v>
      </c>
      <c r="B26" s="12" t="str" cm="1">
        <f t="array" ref="B26:F26">_xlfn.TEXTSPLIT(A26, 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3">
      <c r="A27" s="7" t="s">
        <v>131</v>
      </c>
      <c r="B27" s="12" t="str" cm="1">
        <f t="array" ref="B27:F27">_xlfn.TEXTSPLIT(A27, 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3">
      <c r="A28" s="7" t="s">
        <v>132</v>
      </c>
      <c r="B28" s="12" t="str" cm="1">
        <f t="array" ref="B28:F28">_xlfn.TEXTSPLIT(A28, 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3">
      <c r="A29" s="7" t="s">
        <v>133</v>
      </c>
      <c r="B29" s="12" t="str" cm="1">
        <f t="array" ref="B29:F29">_xlfn.TEXTSPLIT(A29, 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3">
      <c r="A30" s="7" t="s">
        <v>134</v>
      </c>
      <c r="B30" s="12" t="str" cm="1">
        <f t="array" ref="B30:F30">_xlfn.TEXTSPLIT(A30, 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3">
      <c r="A31" s="7" t="s">
        <v>135</v>
      </c>
      <c r="B31" s="12" t="str" cm="1">
        <f t="array" ref="B31:F31">_xlfn.TEXTSPLIT(A31, 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3">
      <c r="A32" s="7" t="s">
        <v>136</v>
      </c>
      <c r="B32" s="12" t="str" cm="1">
        <f t="array" ref="B32:F32">_xlfn.TEXTSPLIT(A32, 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3">
      <c r="A33" s="7" t="s">
        <v>137</v>
      </c>
      <c r="B33" s="12" t="str" cm="1">
        <f t="array" ref="B33:F33">_xlfn.TEXTSPLIT(A33, 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3">
      <c r="A34" s="7" t="s">
        <v>138</v>
      </c>
      <c r="B34" s="12" t="str" cm="1">
        <f t="array" ref="B34:F34">_xlfn.TEXTSPLIT(A34, 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3">
      <c r="A35" s="7" t="s">
        <v>139</v>
      </c>
      <c r="B35" s="12" t="str" cm="1">
        <f t="array" ref="B35:F35">_xlfn.TEXTSPLIT(A35, 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3">
      <c r="A36" s="7" t="s">
        <v>140</v>
      </c>
      <c r="B36" s="12" t="str" cm="1">
        <f t="array" ref="B36:F36">_xlfn.TEXTSPLIT(A36, 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3">
      <c r="A37" s="7" t="s">
        <v>141</v>
      </c>
      <c r="B37" s="12" t="str" cm="1">
        <f t="array" ref="B37:F37">_xlfn.TEXTSPLIT(A37, 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3">
      <c r="A38" s="7" t="s">
        <v>142</v>
      </c>
      <c r="B38" s="12" t="str" cm="1">
        <f t="array" ref="B38:F38">_xlfn.TEXTSPLIT(A38, 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3">
      <c r="A39" s="7" t="s">
        <v>143</v>
      </c>
      <c r="B39" s="12" t="str" cm="1">
        <f t="array" ref="B39:F39">_xlfn.TEXTSPLIT(A39, 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3">
      <c r="A40" s="7" t="s">
        <v>144</v>
      </c>
      <c r="B40" s="12" t="str" cm="1">
        <f t="array" ref="B40:F40">_xlfn.TEXTSPLIT(A40, 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3">
      <c r="A41" s="7" t="s">
        <v>145</v>
      </c>
      <c r="B41" s="12" t="str" cm="1">
        <f t="array" ref="B41:F41">_xlfn.TEXTSPLIT(A41, 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3">
      <c r="A42" s="7" t="s">
        <v>146</v>
      </c>
      <c r="B42" s="12" t="str" cm="1">
        <f t="array" ref="B42:F42">_xlfn.TEXTSPLIT(A42, 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3">
      <c r="A43" s="7" t="s">
        <v>147</v>
      </c>
      <c r="B43" s="12" t="str" cm="1">
        <f t="array" ref="B43:F43">_xlfn.TEXTSPLIT(A43, 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3">
      <c r="A44" s="7" t="s">
        <v>148</v>
      </c>
      <c r="B44" s="12" t="str" cm="1">
        <f t="array" ref="B44:F44">_xlfn.TEXTSPLIT(A44, 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3">
      <c r="A45" s="7" t="s">
        <v>149</v>
      </c>
      <c r="B45" s="12" t="str" cm="1">
        <f t="array" ref="B45:F45">_xlfn.TEXTSPLIT(A45, 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3">
      <c r="A46" s="7" t="s">
        <v>111</v>
      </c>
      <c r="B46" s="12" t="str" cm="1">
        <f t="array" ref="B46:F46">_xlfn.TEXTSPLIT(A46, 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3">
      <c r="A47" s="7" t="s">
        <v>112</v>
      </c>
      <c r="B47" s="12" t="str" cm="1">
        <f t="array" ref="B47:F47">_xlfn.TEXTSPLIT(A47, 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3">
      <c r="A48" s="7" t="s">
        <v>113</v>
      </c>
      <c r="B48" s="12" t="str" cm="1">
        <f t="array" ref="B48:F48">_xlfn.TEXTSPLIT(A48, 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3">
      <c r="A49" s="7" t="s">
        <v>114</v>
      </c>
      <c r="B49" s="12" t="str" cm="1">
        <f t="array" ref="B49:F49">_xlfn.TEXTSPLIT(A49, 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3">
      <c r="A50" s="7" t="s">
        <v>115</v>
      </c>
      <c r="B50" s="12" t="str" cm="1">
        <f t="array" ref="B50:F50">_xlfn.TEXTSPLIT(A50, 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3">
      <c r="A51" s="7" t="s">
        <v>116</v>
      </c>
      <c r="B51" s="12" t="str" cm="1">
        <f t="array" ref="B51:F51">_xlfn.TEXTSPLIT(A51, 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3">
      <c r="A52" s="7" t="s">
        <v>117</v>
      </c>
      <c r="B52" s="12" t="str" cm="1">
        <f t="array" ref="B52:F52">_xlfn.TEXTSPLIT(A52, 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3">
      <c r="A53" s="7" t="s">
        <v>118</v>
      </c>
      <c r="B53" s="12" t="str" cm="1">
        <f t="array" ref="B53:F53">_xlfn.TEXTSPLIT(A53, 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3">
      <c r="A54" s="9" t="s">
        <v>119</v>
      </c>
      <c r="B54" s="12" t="str" cm="1">
        <f t="array" ref="B54:F54">_xlfn.TEXTSPLIT(A54, 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abSelected="1"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166</v>
      </c>
    </row>
    <row r="2" spans="1:4" ht="18" x14ac:dyDescent="0.35">
      <c r="B2" s="39" t="s">
        <v>165</v>
      </c>
    </row>
    <row r="5" spans="1:4" ht="14.4" x14ac:dyDescent="0.3">
      <c r="B5" s="1" t="s">
        <v>150</v>
      </c>
    </row>
    <row r="6" spans="1:4" ht="259.2" x14ac:dyDescent="0.3">
      <c r="A6" s="3" t="s">
        <v>53</v>
      </c>
      <c r="B6" s="44" t="s">
        <v>179</v>
      </c>
    </row>
    <row r="7" spans="1:4" ht="14.4" x14ac:dyDescent="0.3">
      <c r="A7" s="3" t="s">
        <v>152</v>
      </c>
      <c r="B7" s="1"/>
    </row>
    <row r="10" spans="1:4" ht="23.4" x14ac:dyDescent="0.45">
      <c r="A10" s="18" t="s">
        <v>161</v>
      </c>
    </row>
    <row r="11" spans="1:4" ht="14.4" x14ac:dyDescent="0.3">
      <c r="A11" s="32" t="s">
        <v>86</v>
      </c>
      <c r="B11" s="17" t="s">
        <v>87</v>
      </c>
      <c r="C11" s="17" t="s">
        <v>88</v>
      </c>
      <c r="D11" s="17"/>
    </row>
    <row r="12" spans="1:4" ht="14.4" x14ac:dyDescent="0.3">
      <c r="A12" s="32">
        <v>44927</v>
      </c>
      <c r="B12" s="17" t="s">
        <v>59</v>
      </c>
      <c r="C12" s="17">
        <v>200</v>
      </c>
      <c r="D12" s="17"/>
    </row>
    <row r="13" spans="1:4" ht="14.4" x14ac:dyDescent="0.3">
      <c r="A13" s="32">
        <v>44928</v>
      </c>
      <c r="B13" s="17" t="s">
        <v>60</v>
      </c>
      <c r="C13" s="17" t="e">
        <v>#N/A</v>
      </c>
      <c r="D13" s="17"/>
    </row>
    <row r="14" spans="1:4" ht="14.4" x14ac:dyDescent="0.3">
      <c r="A14" s="32">
        <v>44929</v>
      </c>
      <c r="B14" s="17" t="s">
        <v>61</v>
      </c>
      <c r="C14" s="17">
        <v>50</v>
      </c>
      <c r="D14" s="17"/>
    </row>
    <row r="15" spans="1:4" ht="14.4" x14ac:dyDescent="0.3">
      <c r="A15" s="32">
        <v>44930</v>
      </c>
      <c r="B15" s="17" t="s">
        <v>62</v>
      </c>
      <c r="C15" s="17" t="e">
        <v>#N/A</v>
      </c>
      <c r="D15" s="17"/>
    </row>
    <row r="16" spans="1:4" ht="14.4" x14ac:dyDescent="0.3">
      <c r="A16" s="32">
        <v>44931</v>
      </c>
      <c r="B16" s="17" t="s">
        <v>63</v>
      </c>
      <c r="C16" s="17">
        <v>10</v>
      </c>
      <c r="D16" s="17"/>
    </row>
    <row r="17" spans="1:4" ht="14.4" x14ac:dyDescent="0.3">
      <c r="A17" s="32">
        <v>44932</v>
      </c>
      <c r="B17" s="17" t="s">
        <v>153</v>
      </c>
      <c r="C17" s="17">
        <v>150</v>
      </c>
      <c r="D17" s="17"/>
    </row>
    <row r="18" spans="1:4" ht="14.4" x14ac:dyDescent="0.3">
      <c r="A18" s="32">
        <v>44933</v>
      </c>
      <c r="B18" s="17" t="s">
        <v>154</v>
      </c>
      <c r="C18" s="17">
        <v>80</v>
      </c>
      <c r="D18" s="17"/>
    </row>
    <row r="19" spans="1:4" ht="14.4" x14ac:dyDescent="0.3">
      <c r="A19" s="32">
        <v>44934</v>
      </c>
      <c r="B19" s="17" t="s">
        <v>155</v>
      </c>
      <c r="C19" s="17" t="e">
        <v>#N/A</v>
      </c>
      <c r="D19" s="17"/>
    </row>
    <row r="20" spans="1:4" ht="14.4" x14ac:dyDescent="0.3">
      <c r="A20" s="32">
        <v>44935</v>
      </c>
      <c r="B20" s="17" t="s">
        <v>156</v>
      </c>
      <c r="C20" s="17">
        <v>30</v>
      </c>
      <c r="D20" s="17"/>
    </row>
    <row r="21" spans="1:4" ht="14.4" x14ac:dyDescent="0.3">
      <c r="A21" s="32">
        <v>44936</v>
      </c>
      <c r="B21" s="17" t="s">
        <v>157</v>
      </c>
      <c r="C21" s="17" t="e">
        <v>#N/A</v>
      </c>
      <c r="D21" s="17"/>
    </row>
    <row r="22" spans="1:4" ht="14.4" x14ac:dyDescent="0.3">
      <c r="B22" s="17" t="s">
        <v>158</v>
      </c>
      <c r="C22" s="17" cm="1">
        <f t="array" ref="C22">SUM(IF(ISNA(C12:C21), 20,C12:C21))</f>
        <v>600</v>
      </c>
      <c r="D22" s="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21" zoomScaleNormal="100" workbookViewId="0">
      <selection activeCell="C29" sqref="C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409.6" x14ac:dyDescent="0.35">
      <c r="A4" s="42" t="s">
        <v>53</v>
      </c>
      <c r="B4" s="44" t="s">
        <v>180</v>
      </c>
    </row>
    <row r="5" spans="1:14" ht="18" x14ac:dyDescent="0.35">
      <c r="A5" s="42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 t="e">
        <f>IFERROR(VLOOKUP(A23, M9:N18, MATCH(A23, A9:J18, 0), FALSE), "") + IFERROR(VLOOKUP(B23,A9:J18, MATCH(B23, A9:J18, 0), FALSE), "")</f>
        <v>#VALUE!</v>
      </c>
    </row>
    <row r="24" spans="1:14" ht="14.4" x14ac:dyDescent="0.3">
      <c r="A24" s="7">
        <v>10100</v>
      </c>
      <c r="B24" s="12">
        <v>10104</v>
      </c>
      <c r="C24" s="45" t="e">
        <f>IFERROR(VLOOKUP(A24, M9:N18, MATCH(A24, A9:J18, 0), FALSE), "") + IFERROR(VLOOKUP(B24, M9:N18, MATCH(B24, A9:J18, 0), FALSE), "")</f>
        <v>#VALUE!</v>
      </c>
    </row>
    <row r="25" spans="1:14" ht="14.4" x14ac:dyDescent="0.3">
      <c r="A25" s="7">
        <v>10108</v>
      </c>
      <c r="B25" s="12">
        <v>10102</v>
      </c>
      <c r="C25" s="45" t="e">
        <f t="shared" ref="C25:C35" si="0">IFERROR(VLOOKUP(A25, M10:N19, MATCH(A25, A10:J19, 0), FALSE), "") + IFERROR(VLOOKUP(B25, M10:N19, MATCH(B25, A10:J19, 0), FALSE), "")</f>
        <v>#VALUE!</v>
      </c>
    </row>
    <row r="26" spans="1:14" ht="14.4" x14ac:dyDescent="0.3">
      <c r="A26" s="7">
        <v>10100</v>
      </c>
      <c r="B26" s="12">
        <v>10106</v>
      </c>
      <c r="C26" s="45" t="e">
        <f t="shared" si="0"/>
        <v>#VALUE!</v>
      </c>
    </row>
    <row r="27" spans="1:14" ht="14.4" x14ac:dyDescent="0.3">
      <c r="A27" s="7">
        <v>10108</v>
      </c>
      <c r="B27" s="12">
        <v>10110</v>
      </c>
      <c r="C27" s="45" t="e">
        <f t="shared" si="0"/>
        <v>#VALUE!</v>
      </c>
    </row>
    <row r="28" spans="1:14" ht="14.4" x14ac:dyDescent="0.3">
      <c r="A28" s="7">
        <v>10102</v>
      </c>
      <c r="B28" s="12">
        <v>10104</v>
      </c>
      <c r="C28" s="45" t="e">
        <f t="shared" si="0"/>
        <v>#VALUE!</v>
      </c>
    </row>
    <row r="29" spans="1:14" ht="14.4" x14ac:dyDescent="0.3">
      <c r="A29" s="7">
        <v>10106</v>
      </c>
      <c r="B29" s="12">
        <v>10108</v>
      </c>
      <c r="C29" s="45" t="e">
        <f t="shared" si="0"/>
        <v>#VALUE!</v>
      </c>
    </row>
    <row r="30" spans="1:14" ht="14.4" x14ac:dyDescent="0.3">
      <c r="A30" s="7">
        <v>10102</v>
      </c>
      <c r="B30" s="12">
        <v>10106</v>
      </c>
      <c r="C30" s="45" t="e">
        <f t="shared" si="0"/>
        <v>#VALUE!</v>
      </c>
    </row>
    <row r="31" spans="1:14" ht="14.4" x14ac:dyDescent="0.3">
      <c r="A31" s="7">
        <v>10110</v>
      </c>
      <c r="B31" s="12">
        <v>10114</v>
      </c>
      <c r="C31" s="45" t="e">
        <f t="shared" si="0"/>
        <v>#VALUE!</v>
      </c>
    </row>
    <row r="32" spans="1:14" ht="14.4" x14ac:dyDescent="0.3">
      <c r="A32" s="7">
        <v>10104</v>
      </c>
      <c r="B32" s="12">
        <v>10106</v>
      </c>
      <c r="C32" s="45" t="e">
        <f t="shared" si="0"/>
        <v>#VALUE!</v>
      </c>
    </row>
    <row r="33" spans="1:3" ht="14.4" x14ac:dyDescent="0.3">
      <c r="A33" s="7">
        <v>10110</v>
      </c>
      <c r="B33" s="12">
        <v>10112</v>
      </c>
      <c r="C33" s="45" t="e">
        <f t="shared" si="0"/>
        <v>#VALUE!</v>
      </c>
    </row>
    <row r="34" spans="1:3" ht="14.4" x14ac:dyDescent="0.3">
      <c r="A34" s="7">
        <v>10100</v>
      </c>
      <c r="B34" s="12">
        <v>10114</v>
      </c>
      <c r="C34" s="45" t="e">
        <f t="shared" si="0"/>
        <v>#VALUE!</v>
      </c>
    </row>
    <row r="35" spans="1:3" ht="14.4" x14ac:dyDescent="0.3">
      <c r="A35" s="9">
        <v>10112</v>
      </c>
      <c r="B35" s="13">
        <v>10116</v>
      </c>
      <c r="C35" s="45" t="e">
        <f t="shared" si="0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Kavya Bojja</cp:lastModifiedBy>
  <dcterms:created xsi:type="dcterms:W3CDTF">2015-02-10T17:33:11Z</dcterms:created>
  <dcterms:modified xsi:type="dcterms:W3CDTF">2024-10-24T14:14:33Z</dcterms:modified>
</cp:coreProperties>
</file>